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T-2026-03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6.83203125" customWidth="1"/>
    <col min="2" max="2" width="16.83203125" customWidth="1"/>
    <col min="3" max="3" width="38.83203125" customWidth="1"/>
    <col min="4" max="4" width="30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</cols>
  <sheetData>
    <row r="1">
      <c r="A1" t="str">
        <v>บริษัท คอนไซน์แคร์ เมดิคอล จำกัด · ConsignCare Medical Co., Ltd.</v>
      </c>
    </row>
    <row r="2">
      <c r="A2" t="str">
        <v>ใบเสนอราคา / QUOTATION</v>
      </c>
    </row>
    <row r="4">
      <c r="A4" t="str">
        <v>Document no.</v>
      </c>
      <c r="B4" t="str">
        <v>QT-2026-036</v>
      </c>
      <c r="D4" t="str">
        <v>Date</v>
      </c>
      <c r="E4" t="str">
        <v>17/10/2026</v>
      </c>
    </row>
    <row r="5">
      <c r="A5" t="str">
        <v>Customer</v>
      </c>
      <c r="B5" t="str">
        <v>โรงพยาบาลพญาไท ศรีราชา (Phyathai Sriracha Hospital)</v>
      </c>
    </row>
    <row r="6">
      <c r="A6" t="str">
        <v>Address</v>
      </c>
      <c r="B6" t="str">
        <v>90 Sukhumvit Rd., Si Racha, Chon Buri 20110</v>
      </c>
    </row>
    <row r="7">
      <c r="A7" t="str">
        <v>Tax ID</v>
      </c>
      <c r="B7" t="str">
        <v>0205540000123</v>
      </c>
    </row>
    <row r="8">
      <c r="A8" t="str">
        <v>Valid until</v>
      </c>
      <c r="B8" t="str">
        <v>16/11/2026</v>
      </c>
    </row>
    <row r="9">
      <c r="A9" t="str">
        <v>Case ref.</v>
      </c>
      <c r="B9" t="str">
        <v>C25002</v>
      </c>
    </row>
    <row r="10">
      <c r="A10" t="str">
        <v>Credit term</v>
      </c>
      <c r="B10" t="str">
        <v>30 วัน / days</v>
      </c>
    </row>
    <row r="12">
      <c r="A12" t="str">
        <v>No.</v>
      </c>
      <c r="B12" t="str">
        <v>Code / REF</v>
      </c>
      <c r="C12" t="str">
        <v>Description</v>
      </c>
      <c r="D12" t="str">
        <v>LOT / SN</v>
      </c>
      <c r="E12" t="str">
        <v>Qty</v>
      </c>
      <c r="F12" t="str">
        <v>Unit</v>
      </c>
      <c r="G12" t="str">
        <v>Unit price (THB)</v>
      </c>
      <c r="H12" t="str">
        <v>Amount (THB)</v>
      </c>
    </row>
    <row r="13">
      <c r="A13">
        <v>1</v>
      </c>
      <c r="B13" t="str">
        <v>ENSITE-SEK-5-I-01</v>
      </c>
      <c r="C13" t="str">
        <v>EnSite Sensor Enabled Kit</v>
      </c>
      <c r="D13" t="str">
        <v>LOT 11411683 · SN 182998</v>
      </c>
      <c r="E13">
        <v>1</v>
      </c>
      <c r="F13" t="str">
        <v>ชุด</v>
      </c>
      <c r="G13" s="1">
        <v>44640</v>
      </c>
      <c r="H13" s="1">
        <f>E13*G13</f>
        <v>44640</v>
      </c>
    </row>
    <row r="14">
      <c r="A14">
        <v>2</v>
      </c>
      <c r="B14" t="str">
        <v>402570</v>
      </c>
      <c r="C14" t="str">
        <v>EP Diagnostic Catheter 402570</v>
      </c>
      <c r="D14" t="str">
        <v>LOT 11325569 · SN 184796</v>
      </c>
      <c r="E14">
        <v>1</v>
      </c>
      <c r="F14" t="str">
        <v>ชิ้น</v>
      </c>
      <c r="G14" s="1">
        <v>33480</v>
      </c>
      <c r="H14" s="1">
        <f>E14*G14</f>
        <v>33480</v>
      </c>
    </row>
    <row r="15">
      <c r="A15">
        <v>3</v>
      </c>
      <c r="B15" t="str">
        <v>402811</v>
      </c>
      <c r="C15" t="str">
        <v>EP Diagnostic Catheter 402811</v>
      </c>
      <c r="D15" t="str">
        <v>LOT 11380356 · SN 188396</v>
      </c>
      <c r="E15">
        <v>1</v>
      </c>
      <c r="F15" t="str">
        <v>ชิ้น</v>
      </c>
      <c r="G15" s="1">
        <v>35805</v>
      </c>
      <c r="H15" s="1">
        <f>E15*G15</f>
        <v>35805</v>
      </c>
    </row>
    <row r="16">
      <c r="A16">
        <v>4</v>
      </c>
      <c r="B16" t="str">
        <v>401980</v>
      </c>
      <c r="C16" t="str">
        <v>Steerable Sheath 401980</v>
      </c>
      <c r="D16" t="str">
        <v>LOT 11445151 · SN 186684</v>
      </c>
      <c r="E16">
        <v>1</v>
      </c>
      <c r="F16" t="str">
        <v>ชิ้น</v>
      </c>
      <c r="G16" s="1">
        <v>27435</v>
      </c>
      <c r="H16" s="1">
        <f>E16*G16</f>
        <v>27435</v>
      </c>
    </row>
    <row r="17">
      <c r="A17">
        <v>5</v>
      </c>
      <c r="B17" t="str">
        <v>IBI-81102</v>
      </c>
      <c r="C17" t="str">
        <v>Ablation Catheter IBI-81102</v>
      </c>
      <c r="D17" t="str">
        <v>LOT 11420679 · SN 180874</v>
      </c>
      <c r="E17">
        <v>1</v>
      </c>
      <c r="F17" t="str">
        <v>ชิ้น</v>
      </c>
      <c r="G17" s="1">
        <v>82770</v>
      </c>
      <c r="H17" s="1">
        <f>E17*G17</f>
        <v>82770</v>
      </c>
    </row>
    <row r="18">
      <c r="A18">
        <v>6</v>
      </c>
      <c r="B18" t="str">
        <v>401436</v>
      </c>
      <c r="C18" t="str">
        <v>Introducer Set 401436</v>
      </c>
      <c r="D18" t="str">
        <v>LOT 11534387 · SN 193082</v>
      </c>
      <c r="E18">
        <v>1</v>
      </c>
      <c r="F18" t="str">
        <v>ชิ้น</v>
      </c>
      <c r="G18" s="1">
        <v>6324</v>
      </c>
      <c r="H18" s="1">
        <f>E18*G18</f>
        <v>6324</v>
      </c>
    </row>
    <row r="20">
      <c r="G20" t="str">
        <v>Subtotal</v>
      </c>
      <c r="H20" s="1">
        <f>SUM(H13:H18)</f>
        <v>230454</v>
      </c>
    </row>
    <row r="21">
      <c r="G21" t="str">
        <v>Discount 0%</v>
      </c>
      <c r="H21" s="1">
        <v>0</v>
      </c>
    </row>
    <row r="22">
      <c r="G22" t="str">
        <v>VAT 7%</v>
      </c>
      <c r="H22" s="1">
        <f>ROUND((H20+H21)*0.07,2)</f>
        <v>16131.78</v>
      </c>
    </row>
    <row r="23">
      <c r="G23" t="str">
        <v>Grand total</v>
      </c>
      <c r="H23" s="1">
        <f>H20+H21+H22</f>
        <v>246585.78</v>
      </c>
    </row>
    <row r="25">
      <c r="A25" t="str">
        <v>Remark</v>
      </c>
      <c r="B25" t="str">
        <v>ราคาตามสัญญาโรงพยาบาล สินค้าฝากขาย (Consignment) ใช้ในหัตถการแล้ว</v>
      </c>
    </row>
    <row r="27">
      <c r="A27" t="str">
        <v>Prepared by: Kanya</v>
      </c>
      <c r="B27" t="str">
        <v>Approved by: Wichai S.</v>
      </c>
      <c r="C27" t="str">
        <v>Accepted by (Customer): ________________</v>
      </c>
    </row>
  </sheetData>
  <mergeCells count="2">
    <mergeCell ref="A1:H1"/>
    <mergeCell ref="A2:H2"/>
  </mergeCells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QT-2026-036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